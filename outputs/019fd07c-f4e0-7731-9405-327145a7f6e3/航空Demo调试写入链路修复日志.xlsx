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58c8a1aa2649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修复日志" sheetId="1" r:id="Rae04e17a262a4c05"/>
    <x:sheet xmlns:r="http://schemas.openxmlformats.org/officeDocument/2006/relationships" name="动态服务与表" sheetId="2" r:id="Rd77415ff7de445c0"/>
    <x:sheet xmlns:r="http://schemas.openxmlformats.org/officeDocument/2006/relationships" name="验证证据" sheetId="3" r:id="R77c0e1e5f4274f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475569"/>
      <x:name val="Carlito"/>
    </x:font>
    <x:font>
      <x:b/>
      <x:sz val="11"/>
      <x:color rgb="FF0B1F3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4F7FB"/>
      </x:patternFill>
    </x:fill>
    <x:fill>
      <x:patternFill patternType="solid">
        <x:fgColor rgb="FFE8F1FA"/>
      </x:patternFill>
    </x:fill>
    <x:fill>
      <x:patternFill patternType="solid">
        <x:fgColor rgb="FFDCE6F1"/>
      </x:patternFill>
    </x:fill>
  </x:fills>
  <x:borders count="6">
    <x:border/>
    <x:border>
      <x:left style="thin">
        <x:color rgb="FFB7C9DD"/>
      </x:left>
      <x:top style="thin">
        <x:color rgb="FFB7C9DD"/>
      </x:top>
      <x:bottom style="thin">
        <x:color rgb="FFB7C9DD"/>
      </x:bottom>
    </x:border>
    <x:border>
      <x:top style="thin">
        <x:color rgb="FFB7C9DD"/>
      </x:top>
      <x:bottom style="thin">
        <x:color rgb="FFB7C9DD"/>
      </x:bottom>
    </x:border>
    <x:border>
      <x:right style="thin">
        <x:color rgb="FFB7C9DD"/>
      </x:right>
      <x:top style="thin">
        <x:color rgb="FFB7C9DD"/>
      </x:top>
      <x:bottom style="thin">
        <x:color rgb="FFB7C9DD"/>
      </x:bottom>
    </x:border>
    <x:border>
      <x:left style="thin">
        <x:color rgb="FFB7C9DD"/>
      </x:left>
      <x:right style="thin">
        <x:color rgb="FFB7C9DD"/>
      </x:right>
      <x:top style="thin">
        <x:color rgb="FFB7C9DD"/>
      </x:top>
      <x:bottom style="thin">
        <x:color rgb="FFB7C9DD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4" xfId="0" applyNumberFormat="1" applyFont="1" applyFill="1" applyBorder="1"/>
    <x:xf numFmtId="0" fontId="3" fillId="5" borderId="4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horizont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E7F6EC"/>
        </x:patternFill>
      </x:fill>
    </x:dxf>
    <x:dxf>
      <x:font>
        <x:b/>
        <x:color rgb="FF92400E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2cfa78014548cc" /><Relationship Type="http://schemas.openxmlformats.org/officeDocument/2006/relationships/theme" Target="/xl/theme/theme1.xml" Id="Re43d52f7ba354733" /><Relationship Type="http://schemas.openxmlformats.org/officeDocument/2006/relationships/sharedStrings" Target="/xl/sharedStrings.xml" Id="Rf8fda561cafa40d0" /><Relationship Type="http://schemas.openxmlformats.org/officeDocument/2006/relationships/worksheet" Target="/xl/worksheets/sheet1.xml" Id="Rae04e17a262a4c05" /><Relationship Type="http://schemas.openxmlformats.org/officeDocument/2006/relationships/worksheet" Target="/xl/worksheets/sheet2.xml" Id="Rd77415ff7de445c0" /><Relationship Type="http://schemas.openxmlformats.org/officeDocument/2006/relationships/worksheet" Target="/xl/worksheets/sheet3.xml" Id="R77c0e1e5f4274fd9" /></Relationships>
</file>

<file path=xl/tables/table1.xml><?xml version="1.0" encoding="utf-8"?>
<x:table xmlns:x="http://schemas.openxmlformats.org/spreadsheetml/2006/main" id="1" name="RepairLogTable" displayName="RepairLogTable" ref="A5:N19" headerRowCount="1" totalsRowCount="0" totalsRowShown="0">
  <x:tableColumns count="14">
    <x:tableColumn id="1" name="修复编号"/>
    <x:tableColumn id="2" name="界面/场景"/>
    <x:tableColumn id="3" name="问题分类"/>
    <x:tableColumn id="4" name="动态服务"/>
    <x:tableColumn id="5" name="API/入口"/>
    <x:tableColumn id="6" name="写入或影响数据表"/>
    <x:tableColumn id="7" name="报错/现象"/>
    <x:tableColumn id="8" name="根因"/>
    <x:tableColumn id="9" name="修复方案"/>
    <x:tableColumn id="10" name="是否修改源代码"/>
    <x:tableColumn id="11" name="主要修改文件/迁移"/>
    <x:tableColumn id="12" name="验证证据"/>
    <x:tableColumn id="13" name="当前状态"/>
    <x:tableColumn id="14" name="后续动作/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rviceTableMap" displayName="ServiceTableMap" ref="A4:F14" headerRowCount="1" totalsRowCount="0" totalsRowShown="0">
  <x:tableColumns count="6">
    <x:tableColumn id="1" name="业务链路"/>
    <x:tableColumn id="2" name="动态服务/模块"/>
    <x:tableColumn id="3" name="API/入口"/>
    <x:tableColumn id="4" name="写入或影响数据表"/>
    <x:tableColumn id="5" name="动作类型"/>
    <x:tableColumn id="6" name="职责/数据契约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erificationEvidence" displayName="VerificationEvidence" ref="A4:E11" headerRowCount="1" totalsRowCount="0" totalsRowShown="0">
  <x:tableColumns count="5">
    <x:tableColumn id="1" name="日期"/>
    <x:tableColumn id="2" name="验证阶段"/>
    <x:tableColumn id="3" name="命令/接口"/>
    <x:tableColumn id="4" name="结果"/>
    <x:tableColumn id="5" name="结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9f1d9f2b9048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f5e069c238046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18987aa05f4f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30" hidden="0" customWidth="1"/>
    <x:col min="5" max="5" width="38" hidden="0" customWidth="1"/>
    <x:col min="6" max="6" width="42" hidden="0" customWidth="1"/>
    <x:col min="7" max="7" width="46" hidden="0" customWidth="1"/>
    <x:col min="8" max="8" width="48" hidden="0" customWidth="1"/>
    <x:col min="9" max="9" width="52" hidden="0" customWidth="1"/>
    <x:col min="10" max="10" width="16" hidden="0" customWidth="1"/>
    <x:col min="11" max="11" width="46" hidden="0" customWidth="1"/>
    <x:col min="12" max="12" width="42" hidden="0" customWidth="1"/>
    <x:col min="13" max="13" width="16" hidden="0" customWidth="1"/>
    <x:col min="14" max="14" width="42" hidden="0" customWidth="1"/>
  </x:cols>
  <x:sheetData>
    <x:row r="1" ht="30" customHeight="1">
      <x:c r="A1" s="4" t="str">
        <x:v>航空 Demo 调试写入链路修复日志</x:v>
      </x:c>
      <x:c r="B1" s="4" t="str">
        <x:v>航空 Demo 调试写入链路修复日志</x:v>
      </x:c>
      <x:c r="C1" s="4" t="str">
        <x:v>航空 Demo 调试写入链路修复日志</x:v>
      </x:c>
      <x:c r="D1" s="4" t="str">
        <x:v>航空 Demo 调试写入链路修复日志</x:v>
      </x:c>
      <x:c r="E1" s="4" t="str">
        <x:v>航空 Demo 调试写入链路修复日志</x:v>
      </x:c>
      <x:c r="F1" s="4" t="str">
        <x:v>航空 Demo 调试写入链路修复日志</x:v>
      </x:c>
      <x:c r="G1" s="4" t="str">
        <x:v>航空 Demo 调试写入链路修复日志</x:v>
      </x:c>
      <x:c r="H1" s="4" t="str">
        <x:v>航空 Demo 调试写入链路修复日志</x:v>
      </x:c>
      <x:c r="I1" s="4" t="str">
        <x:v>航空 Demo 调试写入链路修复日志</x:v>
      </x:c>
      <x:c r="J1" s="4" t="str">
        <x:v>航空 Demo 调试写入链路修复日志</x:v>
      </x:c>
      <x:c r="K1" s="4" t="str">
        <x:v>航空 Demo 调试写入链路修复日志</x:v>
      </x:c>
      <x:c r="L1" s="4" t="str">
        <x:v>航空 Demo 调试写入链路修复日志</x:v>
      </x:c>
      <x:c r="M1" s="4" t="str">
        <x:v>航空 Demo 调试写入链路修复日志</x:v>
      </x:c>
      <x:c r="N1" s="4" t="str">
        <x:v>航空 Demo 调试写入链路修复日志</x:v>
      </x:c>
    </x:row>
    <x:row r="2">
      <x:c r="A2" s="7" t="str">
        <x:v>口径：记录从调试界面触发的配置、调用、写入、审计和检索链路问题；不包含敏感 API key/token。生成时间：2026-08-06 17:21 +08:00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13" t="str">
        <x:v>日志条目</x:v>
      </x:c>
      <x:c r="B3" s="14" t="n">
        <x:f>COUNTA(A6:A19)</x:f>
        <x:v>14</x:v>
      </x:c>
      <x:c r="C3" s="14" t="str">
        <x:v>已修复</x:v>
      </x:c>
      <x:c r="D3" s="14" t="n">
        <x:f>COUNTIF(M6:M19,"已修复")</x:f>
        <x:v>9</x:v>
      </x:c>
      <x:c r="E3" s="14" t="str">
        <x:v>需复验</x:v>
      </x:c>
      <x:c r="F3" s="14" t="n">
        <x:f>COUNTIF(M6:M19,"已修复/需复验")</x:f>
        <x:v>5</x:v>
      </x:c>
      <x:c r="G3" s="14" t="str">
        <x:v>改源代码</x:v>
      </x:c>
      <x:c r="H3" s="14" t="n">
        <x:f>COUNTIF(J6:J19,"是")+COUNTIF(J6:J19,"是/含表结构")+COUNTIF(J6:J19,"是/含数据铺底")</x:f>
        <x:v>13</x:v>
      </x:c>
      <x:c r="I3" s="14" t="str">
        <x:v>动态服务映射</x:v>
      </x:c>
      <x:c r="J3" s="15" t="n">
        <x:f>COUNTA('动态服务与表'!A5:A14)</x:f>
        <x:v>10</x:v>
      </x:c>
    </x:row>
    <x:row r="5" ht="30" customHeight="1">
      <x:c r="A5" s="21" t="str">
        <x:v>修复编号</x:v>
      </x:c>
      <x:c r="B5" s="21" t="str">
        <x:v>界面/场景</x:v>
      </x:c>
      <x:c r="C5" s="21" t="str">
        <x:v>问题分类</x:v>
      </x:c>
      <x:c r="D5" s="21" t="str">
        <x:v>动态服务</x:v>
      </x:c>
      <x:c r="E5" s="21" t="str">
        <x:v>API/入口</x:v>
      </x:c>
      <x:c r="F5" s="21" t="str">
        <x:v>写入或影响数据表</x:v>
      </x:c>
      <x:c r="G5" s="21" t="str">
        <x:v>报错/现象</x:v>
      </x:c>
      <x:c r="H5" s="21" t="str">
        <x:v>根因</x:v>
      </x:c>
      <x:c r="I5" s="21" t="str">
        <x:v>修复方案</x:v>
      </x:c>
      <x:c r="J5" s="21" t="str">
        <x:v>是否修改源代码</x:v>
      </x:c>
      <x:c r="K5" s="21" t="str">
        <x:v>主要修改文件/迁移</x:v>
      </x:c>
      <x:c r="L5" s="21" t="str">
        <x:v>验证证据</x:v>
      </x:c>
      <x:c r="M5" s="21" t="str">
        <x:v>当前状态</x:v>
      </x:c>
      <x:c r="N5" s="21" t="str">
        <x:v>后续动作/备注</x:v>
      </x:c>
    </x:row>
    <x:row r="6">
      <x:c r="A6" s="25" t="str">
        <x:v>R-001</x:v>
      </x:c>
      <x:c r="B6" s="24" t="str">
        <x:v>项目资产包导入</x:v>
      </x:c>
      <x:c r="C6" s="24" t="str">
        <x:v>项目迁移/结构</x:v>
      </x:c>
      <x:c r="D6" s="24" t="str">
        <x:v>project-asset.service + project-asset.migration</x:v>
      </x:c>
      <x:c r="E6" s="24" t="str">
        <x:v>POST /api/v1/projects/assets/import/preview；POST /api/v1/projects/assets/import</x:v>
      </x:c>
      <x:c r="F6" s="24" t="str">
        <x:v>项目资产包涉及的业务表；project_asset_transfer_logs；project_asset_backups</x:v>
      </x:c>
      <x:c r="G6" s="24" t="str">
        <x:v>导入项目资产失败：目标环境尚未完成项目包所需的数据结构升级</x:v>
      </x:c>
      <x:c r="H6" s="24" t="str">
        <x:v>目标环境缺少项目资产模块的表、列、索引或外键迁移，导入前置校验不通过。</x:v>
      </x:c>
      <x:c r="I6" s="24" t="str">
        <x:v>补齐 project-asset.migration、导入前结构检查与跨项目引用适配；迁移完成后再导入。</x:v>
      </x:c>
      <x:c r="J6" s="24" t="str">
        <x:v>是</x:v>
      </x:c>
      <x:c r="K6" s="24" t="str">
        <x:v>backend/src/database/migrate.js；backend/src/modules/project-spaces/project-asset.migration.js；backend/src/modules/project-spaces/project-asset.service.js</x:v>
      </x:c>
      <x:c r="L6" s="24" t="str">
        <x:v>已有项目包导入修复提交；建议对四个指定包逐一复验。</x:v>
      </x:c>
      <x:c r="M6" s="24" t="str">
        <x:v>已修复</x:v>
      </x:c>
      <x:c r="N6" s="24" t="str">
        <x:v>导入动作会写入目标项目资产表和 transfer log，需保留备份。</x:v>
      </x:c>
    </x:row>
    <x:row r="7">
      <x:c r="A7" s="25" t="str">
        <x:v>R-002</x:v>
      </x:c>
      <x:c r="B7" s="24" t="str">
        <x:v>项目资产包导入</x:v>
      </x:c>
      <x:c r="C7" s="24" t="str">
        <x:v>上传限制</x:v>
      </x:c>
      <x:c r="D7" s="24" t="str">
        <x:v>project-space.routes + multer</x:v>
      </x:c>
      <x:c r="E7" s="24" t="str">
        <x:v>POST /api/v1/projects/assets/import/preview</x:v>
      </x:c>
      <x:c r="F7" s="24" t="str">
        <x:v>无业务表写入；临时上传目录</x:v>
      </x:c>
      <x:c r="G7" s="24" t="str">
        <x:v>资产包预检失败：上传文件超过服务限制</x:v>
      </x:c>
      <x:c r="H7" s="24" t="str">
        <x:v>服务端 multer 文件大小限制低于实际项目包大小。</x:v>
      </x:c>
      <x:c r="I7" s="24" t="str">
        <x:v>将上传上限统一为可配置项 PROJECT_ASSET_UPLOAD_LIMIT_MB，默认覆盖当前项目包规模；超限仍需明确提示。</x:v>
      </x:c>
      <x:c r="J7" s="24" t="str">
        <x:v>是</x:v>
      </x:c>
      <x:c r="K7" s="24" t="str">
        <x:v>backend/src/modules/project-spaces/project-space.routes.js</x:v>
      </x:c>
      <x:c r="L7" s="24" t="str">
        <x:v>配置项生效后可进入预检页；未对超大文件做破坏性处理。</x:v>
      </x:c>
      <x:c r="M7" s="24" t="str">
        <x:v>已修复</x:v>
      </x:c>
      <x:c r="N7" s="24" t="str">
        <x:v>生产环境应按存储与网关限制同步调整。</x:v>
      </x:c>
    </x:row>
    <x:row r="8">
      <x:c r="A8" s="25" t="str">
        <x:v>R-003</x:v>
      </x:c>
      <x:c r="B8" s="24" t="str">
        <x:v>数据源管理/数据开发</x:v>
      </x:c>
      <x:c r="C8" s="24" t="str">
        <x:v>连接配置</x:v>
      </x:c>
      <x:c r="D8" s="24" t="str">
        <x:v>data-source.preview + database capability probe</x:v>
      </x:c>
      <x:c r="E8" s="24" t="str">
        <x:v>POST /api/v1/data-sources/test-connection</x:v>
      </x:c>
      <x:c r="F8" s="24" t="str">
        <x:v>无业务表写入；连接测试日志仅在请求上下文中返回</x:v>
      </x:c>
      <x:c r="G8" s="24" t="str">
        <x:v>数据库连接测试失败：getaddrinfo ENOTFOUND postgres</x:v>
      </x:c>
      <x:c r="H8" s="24" t="str">
        <x:v>界面保存的主机名 postgres 只能在特定 Docker 网络解析，当前本地运行环境无法解析。</x:v>
      </x:c>
      <x:c r="I8" s="24" t="str">
        <x:v>本地开发统一使用 127.0.0.1:46122 的 MySQL 容器；前端默认 API 地址与后端端口统一到 46121。</x:v>
      </x:c>
      <x:c r="J8" s="24" t="str">
        <x:v>是</x:v>
      </x:c>
      <x:c r="K8" s="24" t="str">
        <x:v>frontend/src/pages/data-sources/DataSourcesPage.tsx；frontend/vite.config.ts</x:v>
      </x:c>
      <x:c r="L8" s="24" t="str">
        <x:v>Docker MySQL 已启动；后端与前端 /api/health 均返回 status=ok。</x:v>
      </x:c>
      <x:c r="M8" s="24" t="str">
        <x:v>已修复</x:v>
      </x:c>
      <x:c r="N8" s="24" t="str">
        <x:v>外部 PostgreSQL 数据源仍需填入实际可解析主机。</x:v>
      </x:c>
    </x:row>
    <x:row r="9">
      <x:c r="A9" s="25" t="str">
        <x:v>R-004</x:v>
      </x:c>
      <x:c r="B9" s="24" t="str">
        <x:v>航空气象实时 METAR</x:v>
      </x:c>
      <x:c r="C9" s="24" t="str">
        <x:v>API 请求</x:v>
      </x:c>
      <x:c r="D9" s="24" t="str">
        <x:v>apiIngestionService + streamIngestionRunner</x:v>
      </x:c>
      <x:c r="E9" s="24" t="str">
        <x:v>POST /api/v1/ingestion-tasks/:id/run</x:v>
      </x:c>
      <x:c r="F9" s="24" t="str">
        <x:v>ingestion_job_runs；ingestion_api_sync_states；ods_china_airport_current_weather；stg_aviationweather_current_metar</x:v>
      </x:c>
      <x:c r="G9" s="24" t="str">
        <x:v>运行日志失败：API 请求返回异常状态码 400</x:v>
      </x:c>
      <x:c r="H9" s="24" t="str">
        <x:v>API 文档中的路径、参数或鉴权头与任务配置不一致，服务端收到无效请求。</x:v>
      </x:c>
      <x:c r="I9" s="24" t="str">
        <x:v>按 OpenAPI/接入说明对齐 endpointPath、查询参数、鉴权配置和错误响应解析；敏感参数只进入运行配置，不写日志。</x:v>
      </x:c>
      <x:c r="J9" s="24" t="str">
        <x:v>是</x:v>
      </x:c>
      <x:c r="K9" s="24" t="str">
        <x:v>backend/src/services/apiIngestionService.js；backend/src/services/streamIngestionRunner.js</x:v>
      </x:c>
      <x:c r="L9" s="24" t="str">
        <x:v>已完成配置链路修复；需以当前 API key 在界面再次运行并保留 run log。</x:v>
      </x:c>
      <x:c r="M9" s="24" t="str">
        <x:v>已修复/需复验</x:v>
      </x:c>
      <x:c r="N9" s="24" t="str">
        <x:v>不在代码或日志中记录 API key。</x:v>
      </x:c>
    </x:row>
    <x:row r="10">
      <x:c r="A10" s="25" t="str">
        <x:v>R-005</x:v>
      </x:c>
      <x:c r="B10" s="24" t="str">
        <x:v>航空气象实时 METAR</x:v>
      </x:c>
      <x:c r="C10" s="24" t="str">
        <x:v>字段类型</x:v>
      </x:c>
      <x:c r="D10" s="24" t="str">
        <x:v>streamIngestionRunner + target schema</x:v>
      </x:c>
      <x:c r="E10" s="24" t="str">
        <x:v>POST /api/v1/ingestion-tasks/:id/run</x:v>
      </x:c>
      <x:c r="F10" s="24" t="str">
        <x:v>ods_china_airport_current_weather；stg_aviationweather_current_metar</x:v>
      </x:c>
      <x:c r="G10" s="24" t="str">
        <x:v>写入失败：invalid input syntax for type numeric: VRB</x:v>
      </x:c>
      <x:c r="H10" s="24" t="str">
        <x:v>METAR 风向 VRB 是合法原始语义值，却被映射到 numeric 字段。</x:v>
      </x:c>
      <x:c r="I10" s="24" t="str">
        <x:v>风向原始值按文本保留（VRB 或角度字符串），可计算角度另设数值字段；写入层对非数值原始值不做强制 Number 转换。</x:v>
      </x:c>
      <x:c r="J10" s="24" t="str">
        <x:v>是/含表结构</x:v>
      </x:c>
      <x:c r="K10" s="24" t="str">
        <x:v>scripts/aviation_ontology_governance.sql；接入任务字段映射与目标表元数据</x:v>
      </x:c>
      <x:c r="L10" s="24" t="str">
        <x:v>治理 SQL 已将 wind_direction_deg 口径定义为可含 VRB 的原始值；需对 METAR 任务做一次成功运行验证。</x:v>
      </x:c>
      <x:c r="M10" s="24" t="str">
        <x:v>已修复/需复验</x:v>
      </x:c>
      <x:c r="N10" s="24" t="str">
        <x:v>保留 raw_report 便于审计。</x:v>
      </x:c>
    </x:row>
    <x:row r="11">
      <x:c r="A11" s="25" t="str">
        <x:v>R-006</x:v>
      </x:c>
      <x:c r="B11" s="24" t="str">
        <x:v>航空 Demo 气象铺底</x:v>
      </x:c>
      <x:c r="C11" s="24" t="str">
        <x:v>空值/批量铺底</x:v>
      </x:c>
      <x:c r="D11" s="24" t="str">
        <x:v>aviation weather API ingestion + airport seed</x:v>
      </x:c>
      <x:c r="E11" s="24" t="str">
        <x:v>POST /api/v1/ingestion-tasks/:id/run</x:v>
      </x:c>
      <x:c r="F11" s="24" t="str">
        <x:v>aviationweather_icao_batches；ods_china_airport_current_weather；stg_aviationweather_current_metar</x:v>
      </x:c>
      <x:c r="G11" s="24" t="str">
        <x:v>运行日志失败或记录数为 0；API 400</x:v>
      </x:c>
      <x:c r="H11" s="24" t="str">
        <x:v>请求批次、ICAO 列表或服务限流策略未按接入说明执行；无报文机场也未统一落表。</x:v>
      </x:c>
      <x:c r="I11" s="24" t="str">
        <x:v>按批次拆分中国大陆机场 ICAO；无报文机场写入 NO_CURRENT_REPORT 快照，保留抓取时间和原始报文；失败批次写入运行日志。</x:v>
      </x:c>
      <x:c r="J11" s="24" t="str">
        <x:v>是/含数据铺底</x:v>
      </x:c>
      <x:c r="K11" s="24" t="str">
        <x:v>scripts/aviation_ontology_governance.sql；METAR 任务配置</x:v>
      </x:c>
      <x:c r="L11" s="24" t="str">
        <x:v>表级注释与 283 机场铺底口径已形成；API 限流与当前数据量需在实际账号配额下复验。</x:v>
      </x:c>
      <x:c r="M11" s="24" t="str">
        <x:v>已修复/需复验</x:v>
      </x:c>
      <x:c r="N11" s="24" t="str">
        <x:v>铺底数据应区分当前快照与历史批次。</x:v>
      </x:c>
    </x:row>
    <x:row r="12">
      <x:c r="A12" s="25" t="str">
        <x:v>R-007</x:v>
      </x:c>
      <x:c r="B12" s="24" t="str">
        <x:v>航空 Demo 航班计划</x:v>
      </x:c>
      <x:c r="C12" s="24" t="str">
        <x:v>来源模式</x:v>
      </x:c>
      <x:c r="D12" s="24" t="str">
        <x:v>ingestion-task.service + TaskConfigPage</x:v>
      </x:c>
      <x:c r="E12" s="24" t="str">
        <x:v>POST /api/v1/ingestion-tasks；PUT /api/v1/ingestion-tasks/:id</x:v>
      </x:c>
      <x:c r="F12" s="24" t="str">
        <x:v>ingestion_tasks；ods_flight_schedule</x:v>
      </x:c>
      <x:c r="G12" s="24" t="str">
        <x:v>目标表 ods_flight_schedule 只能按单一来源配置，无法同时支持 API 与手工录入。</x:v>
      </x:c>
      <x:c r="H12" s="24" t="str">
        <x:v>目标表模式和来源模式耦合，更新任务时 create/existing 语义丢失。</x:v>
      </x:c>
      <x:c r="I12" s="24" t="str">
        <x:v>增加 targetTableMode=existing/create；API 与手工录入统一映射到 ods_flight_schedule，并用 record_source 区分来源。</x:v>
      </x:c>
      <x:c r="J12" s="24" t="str">
        <x:v>是</x:v>
      </x:c>
      <x:c r="K12" s="24" t="str">
        <x:v>backend/src/modules/ingestion-tasks/ingestion-task.service.js；frontend/src/pages/data-ingestion-jobs/TaskConfigPage.tsx；frontend/src/types/api.ts</x:v>
      </x:c>
      <x:c r="L12" s="24" t="str">
        <x:v>目标表模式回归测试与前端构建已通过。</x:v>
      </x:c>
      <x:c r="M12" s="24" t="str">
        <x:v>已修复</x:v>
      </x:c>
      <x:c r="N12" s="24" t="str">
        <x:v>手工录入必须提供业务唯一键或稳定 source_record_id。</x:v>
      </x:c>
    </x:row>
    <x:row r="13">
      <x:c r="A13" s="25" t="str">
        <x:v>R-008</x:v>
      </x:c>
      <x:c r="B13" s="24" t="str">
        <x:v>Aviationstack 南航广州出港</x:v>
      </x:c>
      <x:c r="C13" s="24" t="str">
        <x:v>主键/唯一键</x:v>
      </x:c>
      <x:c r="D13" s="24" t="str">
        <x:v>apiRowAdapters + streamIngestionRunner</x:v>
      </x:c>
      <x:c r="E13" s="24" t="str">
        <x:v>POST /api/v1/ingestion-tasks/:id/run</x:v>
      </x:c>
      <x:c r="F13" s="24" t="str">
        <x:v>ods_flight_schedule；ingestion_job_runs；ingestion_api_sync_states</x:v>
      </x:c>
      <x:c r="G13" s="24" t="str">
        <x:v>写入失败：null value in column flight_segment_id of relation ods_flight_schedule violates not-null constraint</x:v>
      </x:c>
      <x:c r="H13" s="24" t="str">
        <x:v>Aviationstack 原始记录没有直接提供目标表必填的 flight_segment_id。</x:v>
      </x:c>
      <x:c r="I13" s="24" t="str">
        <x:v>按航班号、日期、起降机场生成稳定 source_record_id/business_key，并用 SHA-1 派生 flight_segment_id；缺少关键字段的原始记录拒绝落表。</x:v>
      </x:c>
      <x:c r="J13" s="24" t="str">
        <x:v>是</x:v>
      </x:c>
      <x:c r="K13" s="24" t="str">
        <x:v>backend/src/services/apiRowAdapters.js；backend/src/services/streamIngestionRunner.js；backend/src/services/apiRowAdapters.test.js</x:v>
      </x:c>
      <x:c r="L13" s="24" t="str">
        <x:v>适配器单测覆盖稳定 ID、南航广州过滤和必填字段过滤。</x:v>
      </x:c>
      <x:c r="M13" s="24" t="str">
        <x:v>已修复</x:v>
      </x:c>
      <x:c r="N13" s="24" t="str">
        <x:v>API key 只保存在数据源连接配置中。</x:v>
      </x:c>
    </x:row>
    <x:row r="14">
      <x:c r="A14" s="25" t="str">
        <x:v>R-009</x:v>
      </x:c>
      <x:c r="B14" s="24" t="str">
        <x:v>Aviationstack 增量任务</x:v>
      </x:c>
      <x:c r="C14" s="24" t="str">
        <x:v>增量/去重</x:v>
      </x:c>
      <x:c r="D14" s="24" t="str">
        <x:v>apiRowAdapters + API sync state</x:v>
      </x:c>
      <x:c r="E14" s="24" t="str">
        <x:v>POST /api/v1/ingestion-tasks/:id/run</x:v>
      </x:c>
      <x:c r="F14" s="24" t="str">
        <x:v>ods_flight_schedule；ingestion_api_sync_states；ingestion_job_runs</x:v>
      </x:c>
      <x:c r="G14" s="24" t="str">
        <x:v>任务完成但记录数为 0，界面无法获取航班信息。</x:v>
      </x:c>
      <x:c r="H14" s="24" t="str">
        <x:v>API 返回数据未固定过滤 airline_iata=CZ、dep_iata=CAN，且 fetched/accepted/written 统计不透明；增量状态与业务键未统一。</x:v>
      </x:c>
      <x:c r="I14" s="24" t="str">
        <x:v>自动补齐南航广州过滤参数；记录 fetchedRecords、acceptedRecords、writtenRecords；按业务键去重并维护 API 同步状态。</x:v>
      </x:c>
      <x:c r="J14" s="24" t="str">
        <x:v>是</x:v>
      </x:c>
      <x:c r="K14" s="24" t="str">
        <x:v>backend/src/services/apiRowAdapters.js；backend/src/services/streamIngestionRunner.js</x:v>
      </x:c>
      <x:c r="L14" s="24" t="str">
        <x:v>运行日志字段已扩展；需在 API 有可用航班窗口时复验非 0 记录。</x:v>
      </x:c>
      <x:c r="M14" s="24" t="str">
        <x:v>已修复/需复验</x:v>
      </x:c>
      <x:c r="N14" s="24" t="str">
        <x:v>供应商当前无航班时 0 条属于业务结果，不应误判为系统成功。</x:v>
      </x:c>
    </x:row>
    <x:row r="15">
      <x:c r="A15" s="25" t="str">
        <x:v>R-010</x:v>
      </x:c>
      <x:c r="B15" s="24" t="str">
        <x:v>目标表结构同步</x:v>
      </x:c>
      <x:c r="C15" s="24" t="str">
        <x:v>PostgreSQL 视图依赖</x:v>
      </x:c>
      <x:c r="D15" s="24" t="str">
        <x:v>data-source.metadata schema sync</x:v>
      </x:c>
      <x:c r="E15" s="24" t="str">
        <x:v>POST /api/v1/data-sources/test-connection；接入任务预览/保存</x:v>
      </x:c>
      <x:c r="F15" s="24" t="str">
        <x:v>目标 PostgreSQL 物理表；依赖视图/规则</x:v>
      </x:c>
      <x:c r="G15" s="24" t="str">
        <x:v>cannot alter type of a column used by a view or rule</x:v>
      </x:c>
      <x:c r="H15" s="24" t="str">
        <x:v>类型别名（如 varchar/character varying、timestamptz）被误判为差异，触发不必要的 ALTER TYPE。</x:v>
      </x:c>
      <x:c r="I15" s="24" t="str">
        <x:v>规范化 PostgreSQL 类型别名；只在语义类型真正不同才改类型；将类型、NULL 约束、默认值变更拆分生成。</x:v>
      </x:c>
      <x:c r="J15" s="24" t="str">
        <x:v>是</x:v>
      </x:c>
      <x:c r="K15" s="24" t="str">
        <x:v>backend/src/modules/data-sources/data-source.metadata.js；backend/src/modules/data-sources/data-source.metadata.test.js</x:v>
      </x:c>
      <x:c r="L15" s="24" t="str">
        <x:v>类型等价、仅 NULL/默认值变更的回归测试已通过。</x:v>
      </x:c>
      <x:c r="M15" s="24" t="str">
        <x:v>已修复</x:v>
      </x:c>
      <x:c r="N15" s="24" t="str">
        <x:v>仍需对带视图的真实 PostgreSQL 表做一次集成验证。</x:v>
      </x:c>
    </x:row>
    <x:row r="16">
      <x:c r="A16" s="25" t="str">
        <x:v>R-011</x:v>
      </x:c>
      <x:c r="B16" s="24" t="str">
        <x:v>数据检索</x:v>
      </x:c>
      <x:c r="C16" s="24" t="str">
        <x:v>项目隔离迁移</x:v>
      </x:c>
      <x:c r="D16" s="24" t="str">
        <x:v>data-standards.repository + database/migrate</x:v>
      </x:c>
      <x:c r="E16" s="24" t="str">
        <x:v>GET /api/v1/data-standards/elements?lifecycleStatus=published；业务数据检索页面初始化</x:v>
      </x:c>
      <x:c r="F16" s="24" t="str">
        <x:v>std_catalogs；std_reference_standards；std_value_domains；std_data_elements；std_field_mappings 等 std_* 表</x:v>
      </x:c>
      <x:c r="G16" s="24" t="str">
        <x:v>加载检索条件失败：Unknown column 'e.project_id' in 'where clause'</x:v>
      </x:c>
      <x:c r="H16" s="24" t="str">
        <x:v>data standards migration 定义了 project scope，但 database/migrate.js 未执行 data-standards.migration 的 postMigrations，旧库缺 project_id。</x:v>
      </x:c>
      <x:c r="I16" s="24" t="str">
        <x:v>在统一迁移入口导入并执行 dataStandardsPostMigrations；为标准表补 project_id、索引和项目内唯一键。</x:v>
      </x:c>
      <x:c r="J16" s="24" t="str">
        <x:v>是</x:v>
      </x:c>
      <x:c r="K16" s="24" t="str">
        <x:v>backend/src/database/migrate.js；backend/src/database/migrate.test.js</x:v>
      </x:c>
      <x:c r="L16" s="24" t="str">
        <x:v>RED 测试先得到 0 !== 1；修复后 GREEN；登录后四个检索条件接口均返回 200，未再出现 Unknown column。</x:v>
      </x:c>
      <x:c r="M16" s="24" t="str">
        <x:v>已修复</x:v>
      </x:c>
      <x:c r="N16" s="24" t="str">
        <x:v>这是本次请求的根因修复。</x:v>
      </x:c>
    </x:row>
    <x:row r="17">
      <x:c r="A17" s="25" t="str">
        <x:v>R-012</x:v>
      </x:c>
      <x:c r="B17" s="24" t="str">
        <x:v>数据调研</x:v>
      </x:c>
      <x:c r="C17" s="24" t="str">
        <x:v>资产注册可见性</x:v>
      </x:c>
      <x:c r="D17" s="24" t="str">
        <x:v>data-source-research.service + data map registry</x:v>
      </x:c>
      <x:c r="E17" s="24" t="str">
        <x:v>数据调研界面表结构/资产选择</x:v>
      </x:c>
      <x:c r="F17" s="24" t="str">
        <x:v>meta_resource_registry；dm_resources；dm_resource_fields；data_source_research_runs</x:v>
      </x:c>
      <x:c r="G17" s="24" t="str">
        <x:v>数据调研界面选择不到 meta_resource_registry 表。</x:v>
      </x:c>
      <x:c r="H17" s="24" t="str">
        <x:v>物理表未完成资产注册或调研候选范围没有纳入注册表资源。</x:v>
      </x:c>
      <x:c r="I17" s="24" t="str">
        <x:v>补齐资源注册、表字段快照和调研候选范围；让表级资产与 registry 记录按 project_id 关联。</x:v>
      </x:c>
      <x:c r="J17" s="24" t="str">
        <x:v>否/数据治理</x:v>
      </x:c>
      <x:c r="K17" s="24" t="str">
        <x:v>scripts/aviation_ontology_governance.sql；资产目录数据</x:v>
      </x:c>
      <x:c r="L17" s="24" t="str">
        <x:v>治理 SQL 已补表注释和 registry 字段口径；界面需以当前项目重新同步资源后复验。</x:v>
      </x:c>
      <x:c r="M17" s="24" t="str">
        <x:v>已修复/需复验</x:v>
      </x:c>
      <x:c r="N17" s="24" t="str">
        <x:v>属于元数据与数据治理修复，不应靠前端硬编码表名。</x:v>
      </x:c>
    </x:row>
    <x:row r="18">
      <x:c r="A18" s="25" t="str">
        <x:v>R-013</x:v>
      </x:c>
      <x:c r="B18" s="24" t="str">
        <x:v>本地调试环境</x:v>
      </x:c>
      <x:c r="C18" s="24" t="str">
        <x:v>端口偏移/代理</x:v>
      </x:c>
      <x:c r="D18" s="24" t="str">
        <x:v>Vite dev server + backend server + Docker MySQL</x:v>
      </x:c>
      <x:c r="E18" s="24" t="str">
        <x:v>浏览器 http://127.0.0.1:46120/login；GET /api/health</x:v>
      </x:c>
      <x:c r="F18" s="24" t="str">
        <x:v>data-platform-source-mysql；无业务表写入</x:v>
      </x:c>
      <x:c r="G18" s="24" t="str">
        <x:v>前端可打开但接口请求失败；Vite 默认代理仍指向 45121，后端实际为 46121；Docker 停止时后端连接 46122 失败。</x:v>
      </x:c>
      <x:c r="H18" s="24" t="str">
        <x:v>前端代理默认端口与启动文档不一致，且依赖容器未启动。</x:v>
      </x:c>
      <x:c r="I18" s="24" t="str">
        <x:v>统一使用前端 46120、后端 46121、MySQL 46122；启动 Docker、数据库、后台并校验前端代理健康检查。</x:v>
      </x:c>
      <x:c r="J18" s="24" t="str">
        <x:v>是</x:v>
      </x:c>
      <x:c r="K18" s="24" t="str">
        <x:v>frontend/vite.config.ts；frontend/src/pages/data-sources/DataSourcesPage.tsx</x:v>
      </x:c>
      <x:c r="L18" s="24" t="str">
        <x:v>前端 /login 返回 200；前后端 /api/health 均返回 status=ok；浏览器登录可进入 dashboard。</x:v>
      </x:c>
      <x:c r="M18" s="24" t="str">
        <x:v>已修复</x:v>
      </x:c>
      <x:c r="N18" s="24" t="str">
        <x:v>后端当前开发调度器关闭，手工运行不受影响。</x:v>
      </x:c>
    </x:row>
    <x:row r="19">
      <x:c r="A19" s="25" t="str">
        <x:v>R-014</x:v>
      </x:c>
      <x:c r="B19" s="24" t="str">
        <x:v>报表/调试界面</x:v>
      </x:c>
      <x:c r="C19" s="24" t="str">
        <x:v>ECharts 版本冲突</x:v>
      </x:c>
      <x:c r="D19" s="24" t="str">
        <x:v>frontend reporting chart runtime</x:v>
      </x:c>
      <x:c r="E19" s="24" t="str">
        <x:v>前端构建与报表调试页面</x:v>
      </x:c>
      <x:c r="F19" s="24" t="str">
        <x:v>无业务表写入；前端静态资源</x:v>
      </x:c>
      <x:c r="G19" s="24" t="str">
        <x:v>ECharts 版本冲突导致图表运行时异常或构建失败。</x:v>
      </x:c>
      <x:c r="H19" s="24" t="str">
        <x:v>多个 ECharts 版本/旧 word cloud 扩展同时存在，API 适配不一致。</x:v>
      </x:c>
      <x:c r="I19" s="24" t="str">
        <x:v>统一升级到 ECharts 6；集中处理 word cloud 数据归一化与兼容层，删除旧 API 调用路径。</x:v>
      </x:c>
      <x:c r="J19" s="24" t="str">
        <x:v>是</x:v>
      </x:c>
      <x:c r="K19" s="24" t="str">
        <x:v>frontend/package.json；frontend/src/pages/reporting/charts/echarts-word-cloud.ts；frontend/src/pages/reporting/charts/echarts-word-cloud.test.ts</x:v>
      </x:c>
      <x:c r="L19" s="24" t="str">
        <x:v>提交 863969c 已包含 ECharts 6 与单测；前端构建通过。</x:v>
      </x:c>
      <x:c r="M19" s="24" t="str">
        <x:v>已修复</x:v>
      </x:c>
      <x:c r="N19" s="24" t="str">
        <x:v>不涉及业务数据写入，但会影响调试页面可用性。</x:v>
      </x:c>
    </x:row>
  </x:sheetData>
  <x:mergeCells>
    <x:mergeCell ref="A1:N1"/>
    <x:mergeCell ref="A2:N2"/>
  </x:mergeCells>
  <x:conditionalFormatting sqref="M6:M19">
    <x:cfRule type="containsText" dxfId="0" priority="1" operator="containsText" text="已修复"/>
    <x:cfRule type="containsText" dxfId="1" priority="2" operator="containsText" text="需复验"/>
  </x:conditionalFormatting>
  <x:dataValidations count="1">
    <x:dataValidation type="list" sqref="J6:J19">
      <x:formula1>"是,否,是/含表结构,否/数据治理"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9f1d9f2b9048a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52" hidden="0" customWidth="1"/>
    <x:col min="4" max="4" width="60" hidden="0" customWidth="1"/>
    <x:col min="5" max="5" width="16" hidden="0" customWidth="1"/>
    <x:col min="6" max="6" width="56" hidden="0" customWidth="1"/>
  </x:cols>
  <x:sheetData>
    <x:row r="1" ht="30" customHeight="1">
      <x:c r="A1" s="4" t="str">
        <x:v>动态服务与数据表映射</x:v>
      </x:c>
      <x:c r="B1" s="4" t="str">
        <x:v>动态服务与数据表映射</x:v>
      </x:c>
      <x:c r="C1" s="4" t="str">
        <x:v>动态服务与数据表映射</x:v>
      </x:c>
      <x:c r="D1" s="4" t="str">
        <x:v>动态服务与数据表映射</x:v>
      </x:c>
      <x:c r="E1" s="4" t="str">
        <x:v>动态服务与数据表映射</x:v>
      </x:c>
      <x:c r="F1" s="4" t="str">
        <x:v>动态服务与数据表映射</x:v>
      </x:c>
    </x:row>
    <x:row r="2">
      <x:c r="A2" s="7" t="str">
        <x:v>用于总结调试界面调用后实际触发的服务、API、写入表和职责边界；“无业务表写入”表示只做连接/读取/前端运行时动作。</x:v>
      </x:c>
      <x:c r="B2" s="7"/>
      <x:c r="C2" s="7"/>
      <x:c r="D2" s="7"/>
      <x:c r="E2" s="7"/>
      <x:c r="F2" s="7"/>
    </x:row>
    <x:row r="4" ht="30" customHeight="1">
      <x:c r="A4" s="21" t="str">
        <x:v>业务链路</x:v>
      </x:c>
      <x:c r="B4" s="21" t="str">
        <x:v>动态服务/模块</x:v>
      </x:c>
      <x:c r="C4" s="21" t="str">
        <x:v>API/入口</x:v>
      </x:c>
      <x:c r="D4" s="21" t="str">
        <x:v>写入或影响数据表</x:v>
      </x:c>
      <x:c r="E4" s="21" t="str">
        <x:v>动作类型</x:v>
      </x:c>
      <x:c r="F4" s="21" t="str">
        <x:v>职责/数据契约</x:v>
      </x:c>
    </x:row>
    <x:row r="5">
      <x:c r="A5" s="24" t="str">
        <x:v>项目资产迁移</x:v>
      </x:c>
      <x:c r="B5" s="24" t="str">
        <x:v>project-asset.service / project-asset.migration</x:v>
      </x:c>
      <x:c r="C5" s="24" t="str">
        <x:v>POST /api/v1/projects/assets/import/preview；POST /api/v1/projects/assets/import</x:v>
      </x:c>
      <x:c r="D5" s="24" t="str">
        <x:v>项目资产包中的业务表；project_asset_transfer_logs；project_asset_backups</x:v>
      </x:c>
      <x:c r="E5" s="24" t="str">
        <x:v>导入/预检</x:v>
      </x:c>
      <x:c r="F5" s="24" t="str">
        <x:v>跨环境结构升级、引用映射、备份与 transfer log</x:v>
      </x:c>
    </x:row>
    <x:row r="6">
      <x:c r="A6" s="24" t="str">
        <x:v>数据源连接测试</x:v>
      </x:c>
      <x:c r="B6" s="24" t="str">
        <x:v>data-source.preview / database capability probe</x:v>
      </x:c>
      <x:c r="C6" s="24" t="str">
        <x:v>POST /api/v1/data-sources/test-connection</x:v>
      </x:c>
      <x:c r="D6" s="24" t="str">
        <x:v>无业务表写入</x:v>
      </x:c>
      <x:c r="E6" s="24" t="str">
        <x:v>测试连接</x:v>
      </x:c>
      <x:c r="F6" s="24" t="str">
        <x:v>验证主机、端口、数据库、驱动和 DataX 能力</x:v>
      </x:c>
    </x:row>
    <x:row r="7">
      <x:c r="A7" s="24" t="str">
        <x:v>接入任务配置</x:v>
      </x:c>
      <x:c r="B7" s="24" t="str">
        <x:v>ingestion-task.service</x:v>
      </x:c>
      <x:c r="C7" s="24" t="str">
        <x:v>POST /api/v1/ingestion-tasks；PUT /api/v1/ingestion-tasks/:id</x:v>
      </x:c>
      <x:c r="D7" s="24" t="str">
        <x:v>ingestion_tasks；目标表（自动建表时）</x:v>
      </x:c>
      <x:c r="E7" s="24" t="str">
        <x:v>配置/预览</x:v>
      </x:c>
      <x:c r="F7" s="24" t="str">
        <x:v>统一 source/target、字段映射、增量、目标表模式</x:v>
      </x:c>
    </x:row>
    <x:row r="8">
      <x:c r="A8" s="24" t="str">
        <x:v>API 数据接入</x:v>
      </x:c>
      <x:c r="B8" s="24" t="str">
        <x:v>apiIngestionService + streamIngestionRunner</x:v>
      </x:c>
      <x:c r="C8" s="24" t="str">
        <x:v>POST /api/v1/ingestion-tasks/:id/run</x:v>
      </x:c>
      <x:c r="D8" s="24" t="str">
        <x:v>ingestion_job_runs；ingestion_api_sync_states；目标 ODS/STG 表</x:v>
      </x:c>
      <x:c r="E8" s="24" t="str">
        <x:v>运行/写入</x:v>
      </x:c>
      <x:c r="F8" s="24" t="str">
        <x:v>采集、转换、过滤、去重、写入和同步游标</x:v>
      </x:c>
    </x:row>
    <x:row r="9">
      <x:c r="A9" s="24" t="str">
        <x:v>航空 API 行适配</x:v>
      </x:c>
      <x:c r="B9" s="24" t="str">
        <x:v>apiRowAdapters</x:v>
      </x:c>
      <x:c r="C9" s="24" t="str">
        <x:v>由接入任务运行时调用</x:v>
      </x:c>
      <x:c r="D9" s="24" t="str">
        <x:v>ods_flight_schedule；ods_china_airport_current_weather</x:v>
      </x:c>
      <x:c r="E9" s="24" t="str">
        <x:v>转换/写入</x:v>
      </x:c>
      <x:c r="F9" s="24" t="str">
        <x:v>固定南航广州过滤、稳定业务键、原始值保留</x:v>
      </x:c>
    </x:row>
    <x:row r="10">
      <x:c r="A10" s="24" t="str">
        <x:v>目标表元数据同步</x:v>
      </x:c>
      <x:c r="B10" s="24" t="str">
        <x:v>data-source.metadata</x:v>
      </x:c>
      <x:c r="C10" s="24" t="str">
        <x:v>接入任务预览/保存期间调用</x:v>
      </x:c>
      <x:c r="D10" s="24" t="str">
        <x:v>目标物理表 DDL、注释、索引、主键</x:v>
      </x:c>
      <x:c r="E10" s="24" t="str">
        <x:v>结构同步</x:v>
      </x:c>
      <x:c r="F10" s="24" t="str">
        <x:v>类型等价判断、注释、主键与列属性同步</x:v>
      </x:c>
    </x:row>
    <x:row r="11">
      <x:c r="A11" s="24" t="str">
        <x:v>数据服务调试</x:v>
      </x:c>
      <x:c r="B11" s="24" t="str">
        <x:v>data-service.service</x:v>
      </x:c>
      <x:c r="C11" s="24" t="str">
        <x:v>POST /api/v1/data-services/services/:id/debug；GET /api/v1/jobs/:id</x:v>
      </x:c>
      <x:c r="D11" s="24" t="str">
        <x:v>service_api_call_logs</x:v>
      </x:c>
      <x:c r="E11" s="24" t="str">
        <x:v>服务调用/审计</x:v>
      </x:c>
      <x:c r="F11" s="24" t="str">
        <x:v>调用外部服务、校验 token/IP、记录响应状态和运行日志</x:v>
      </x:c>
    </x:row>
    <x:row r="12">
      <x:c r="A12" s="24" t="str">
        <x:v>数据源调研</x:v>
      </x:c>
      <x:c r="B12" s="24" t="str">
        <x:v>data-source-research.service</x:v>
      </x:c>
      <x:c r="C12" s="24" t="str">
        <x:v>数据调研运行/表结构关系解析接口</x:v>
      </x:c>
      <x:c r="D12" s="24" t="str">
        <x:v>data_source_research_runs；dm_resources；dm_resource_fields；meta_resource_registry</x:v>
      </x:c>
      <x:c r="E12" s="24" t="str">
        <x:v>调研/资产注册</x:v>
      </x:c>
      <x:c r="F12" s="24" t="str">
        <x:v>表结构、字段、关系和资源目录快照</x:v>
      </x:c>
    </x:row>
    <x:row r="13">
      <x:c r="A13" s="24" t="str">
        <x:v>业务数据检索</x:v>
      </x:c>
      <x:c r="B13" s="24" t="str">
        <x:v>asset-search.repository + data-standards.repository</x:v>
      </x:c>
      <x:c r="C13" s="24" t="str">
        <x:v>GET /api/v1/asset-search/facets；GET /api/v1/data-standards/elements；POST /api/v1/asset-search/business-data/search</x:v>
      </x:c>
      <x:c r="D13" s="24" t="str">
        <x:v>读 dm_*、std_* 与物理数据表；检索本身不写业务表</x:v>
      </x:c>
      <x:c r="E13" s="24" t="str">
        <x:v>检索/读取</x:v>
      </x:c>
      <x:c r="F13" s="24" t="str">
        <x:v>项目隔离、字段映射、按数据元条件扫描物理表</x:v>
      </x:c>
    </x:row>
    <x:row r="14">
      <x:c r="A14" s="24" t="str">
        <x:v>本地运行环境</x:v>
      </x:c>
      <x:c r="B14" s="24" t="str">
        <x:v>Docker Desktop + Vite + backend server</x:v>
      </x:c>
      <x:c r="C14" s="24" t="str">
        <x:v>http://127.0.0.1:46120/login；GET /api/health</x:v>
      </x:c>
      <x:c r="D14" s="24" t="str">
        <x:v>data-platform-source-mysql（46122）</x:v>
      </x:c>
      <x:c r="E14" s="24" t="str">
        <x:v>启动/健康检查</x:v>
      </x:c>
      <x:c r="F14" s="24" t="str">
        <x:v>仅提供调试运行时，不改变业务数据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f5e069c238046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70" hidden="0" customWidth="1"/>
    <x:col min="4" max="4" width="56" hidden="0" customWidth="1"/>
    <x:col min="5" max="5" width="46" hidden="0" customWidth="1"/>
  </x:cols>
  <x:sheetData>
    <x:row r="1" ht="30" customHeight="1">
      <x:c r="A1" s="4" t="str">
        <x:v>修复验证证据</x:v>
      </x:c>
      <x:c r="B1" s="4" t="str">
        <x:v>修复验证证据</x:v>
      </x:c>
      <x:c r="C1" s="4" t="str">
        <x:v>修复验证证据</x:v>
      </x:c>
      <x:c r="D1" s="4" t="str">
        <x:v>修复验证证据</x:v>
      </x:c>
      <x:c r="E1" s="4" t="str">
        <x:v>修复验证证据</x:v>
      </x:c>
    </x:row>
    <x:row r="2">
      <x:c r="A2" s="7" t="str">
        <x:v>验证记录只保留命令、结果和结论，不记录认证 token、API key、密码或完整业务数据。</x:v>
      </x:c>
      <x:c r="B2" s="7"/>
      <x:c r="C2" s="7"/>
      <x:c r="D2" s="7"/>
      <x:c r="E2" s="7"/>
    </x:row>
    <x:row r="4" ht="30" customHeight="1">
      <x:c r="A4" s="21" t="str">
        <x:v>日期</x:v>
      </x:c>
      <x:c r="B4" s="21" t="str">
        <x:v>验证阶段</x:v>
      </x:c>
      <x:c r="C4" s="21" t="str">
        <x:v>命令/接口</x:v>
      </x:c>
      <x:c r="D4" s="21" t="str">
        <x:v>结果</x:v>
      </x:c>
      <x:c r="E4" s="21" t="str">
        <x:v>结论</x:v>
      </x:c>
    </x:row>
    <x:row r="5">
      <x:c r="A5" s="24" t="str">
        <x:v>2026-08-06</x:v>
      </x:c>
      <x:c r="B5" s="24" t="str">
        <x:v>根因复现（RED）</x:v>
      </x:c>
      <x:c r="C5" s="24" t="str">
        <x:v>DB_HOST=127.0.0.1 DB_PORT=46122 DB_NAME=data_platform_source node --test src/database/migrate.test.js</x:v>
      </x:c>
      <x:c r="D5" s="24" t="str">
        <x:v>失败，std_data_elements.project_id 不存在，断言 0 !== 1。</x:v>
      </x:c>
      <x:c r="E5" s="24" t="str">
        <x:v>确认不是前端展示问题，而是迁移钩子漏执行。</x:v>
      </x:c>
    </x:row>
    <x:row r="6">
      <x:c r="A6" s="24" t="str">
        <x:v>2026-08-06</x:v>
      </x:c>
      <x:c r="B6" s="24" t="str">
        <x:v>迁移回归（GREEN）</x:v>
      </x:c>
      <x:c r="C6" s="24" t="str">
        <x:v>同一 migrate.test.js，补齐 dataStandardsPostMigrations 后重新执行</x:v>
      </x:c>
      <x:c r="D6" s="24" t="str">
        <x:v>通过，1 个测试通过。</x:v>
      </x:c>
      <x:c r="E6" s="24" t="str">
        <x:v>数据库已补 project_id 和项目索引。</x:v>
      </x:c>
    </x:row>
    <x:row r="7">
      <x:c r="A7" s="24" t="str">
        <x:v>2026-08-06</x:v>
      </x:c>
      <x:c r="B7" s="24" t="str">
        <x:v>检索条件接口冒烟</x:v>
      </x:c>
      <x:c r="C7" s="24" t="str">
        <x:v>登录后请求 asset-search/facets、data-map/catalogs、data-map/data-sources、data-standards/elements</x:v>
      </x:c>
      <x:c r="D7" s="24" t="str">
        <x:v>四个接口均 HTTP 200，响应不含 Unknown column。</x:v>
      </x:c>
      <x:c r="E7" s="24" t="str">
        <x:v>覆盖截图中的页面初始化链路。</x:v>
      </x:c>
    </x:row>
    <x:row r="8">
      <x:c r="A8" s="24" t="str">
        <x:v>2026-08-06</x:v>
      </x:c>
      <x:c r="B8" s="24" t="str">
        <x:v>运行时健康检查</x:v>
      </x:c>
      <x:c r="C8" s="24" t="str">
        <x:v>curl http://127.0.0.1:46121/api/health；curl http://127.0.0.1:46120/api/health</x:v>
      </x:c>
      <x:c r="D8" s="24" t="str">
        <x:v>两端均返回 {status: ok, service: medata-platform, env: development}。</x:v>
      </x:c>
      <x:c r="E8" s="24" t="str">
        <x:v>确认前端代理与后台端口一致。</x:v>
      </x:c>
    </x:row>
    <x:row r="9">
      <x:c r="A9" s="24" t="str">
        <x:v>2026-08-06</x:v>
      </x:c>
      <x:c r="B9" s="24" t="str">
        <x:v>前端构建</x:v>
      </x:c>
      <x:c r="C9" s="24" t="str">
        <x:v>cd frontend &amp;&amp; npm run build</x:v>
      </x:c>
      <x:c r="D9" s="24" t="str">
        <x:v>Vite 构建完成，ECharts 6 vendor chunk 正常产出。</x:v>
      </x:c>
      <x:c r="E9" s="24" t="str">
        <x:v>确认端口修复与既有前端改动未破坏构建。</x:v>
      </x:c>
    </x:row>
    <x:row r="10">
      <x:c r="A10" s="24" t="str">
        <x:v>2026-08-06</x:v>
      </x:c>
      <x:c r="B10" s="24" t="str">
        <x:v>全量后端测试</x:v>
      </x:c>
      <x:c r="C10" s="24" t="str">
        <x:v>cd backend &amp;&amp; npm test</x:v>
      </x:c>
      <x:c r="D10" s="24" t="str">
        <x:v>35 个测试：30 通过、4 跳过、1 失败；失败项为 DataX 发行包缺少 reader/oraclereader/plugin.json。</x:v>
      </x:c>
      <x:c r="E10" s="24" t="str">
        <x:v>该失败与本次数据检索迁移修复无关；本次相关的标准、元数据和航空适配器定向测试 17/17 通过。</x:v>
      </x:c>
    </x:row>
    <x:row r="11">
      <x:c r="A11" s="24" t="str">
        <x:v>2026-08-06</x:v>
      </x:c>
      <x:c r="B11" s="24" t="str">
        <x:v>数据库结构核验</x:v>
      </x:c>
      <x:c r="C11" s="24" t="str">
        <x:v>SHOW COLUMNS FROM std_data_elements LIKE 'project_id'；检查 std_* project scope</x:v>
      </x:c>
      <x:c r="D11" s="24" t="str">
        <x:v>project_id 已存在；项目隔离迁移可重复执行。</x:v>
      </x:c>
      <x:c r="E11" s="24" t="str">
        <x:v>迁移具备幂等性。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218987aa05f4ffa"/>
  </x:tableParts>
</x:worksheet>
</file>